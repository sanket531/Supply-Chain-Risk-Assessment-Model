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Routes" sheetId="2" state="visible" r:id="rId2"/>
    <sheet name="Risk_Library" sheetId="3" state="visible" r:id="rId3"/>
    <sheet name="Risk_Scor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"/>
    <numFmt numFmtId="166" formatCode="0.0"/>
    <numFmt numFmtId="167" formatCode="0.0%"/>
  </numFmts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4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right" vertical="center"/>
    </xf>
    <xf numFmtId="0" fontId="2" fillId="0" borderId="0" pivotButton="0" quotePrefix="0" xfId="0"/>
    <xf numFmtId="3" fontId="3" fillId="0" borderId="2" applyAlignment="1" pivotButton="0" quotePrefix="0" xfId="0">
      <alignment horizontal="center"/>
    </xf>
    <xf numFmtId="0" fontId="4" fillId="0" borderId="0" pivotButton="0" quotePrefix="0" xfId="0"/>
    <xf numFmtId="0" fontId="3" fillId="0" borderId="2" applyAlignment="1" pivotButton="0" quotePrefix="0" xfId="0">
      <alignment horizontal="left"/>
    </xf>
    <xf numFmtId="166" fontId="3" fillId="0" borderId="2" applyAlignment="1" pivotButton="0" quotePrefix="0" xfId="0">
      <alignment horizontal="center"/>
    </xf>
    <xf numFmtId="167" fontId="3" fillId="0" borderId="2" applyAlignment="1" pivotButton="0" quotePrefix="0" xfId="0">
      <alignment horizontal="center"/>
    </xf>
    <xf numFmtId="165" fontId="3" fillId="0" borderId="2" applyAlignment="1" pivotButton="0" quotePrefix="0" xfId="0">
      <alignment horizontal="right"/>
    </xf>
    <xf numFmtId="0" fontId="5" fillId="3" borderId="2" applyAlignment="1" pivotButton="0" quotePrefix="0" xfId="0">
      <alignment horizontal="left"/>
    </xf>
    <xf numFmtId="165" fontId="5" fillId="3" borderId="2" applyAlignment="1" pivotButton="0" quotePrefix="0" xfId="0">
      <alignment horizontal="right"/>
    </xf>
    <xf numFmtId="167" fontId="5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38" customWidth="1" min="2" max="2"/>
    <col width="20" customWidth="1" min="3" max="3"/>
    <col width="20" customWidth="1" min="4" max="4"/>
    <col width="14" customWidth="1" min="5" max="5"/>
    <col width="12" customWidth="1" min="6" max="6"/>
    <col width="12" customWidth="1" min="7" max="7"/>
    <col width="21" customWidth="1" min="8" max="8"/>
    <col width="15" customWidth="1" min="9" max="9"/>
    <col width="17" customWidth="1" min="10" max="10"/>
    <col width="14" customWidth="1" min="11" max="11"/>
  </cols>
  <sheetData>
    <row r="1">
      <c r="A1" s="2" t="inlineStr">
        <is>
          <t>Node_ID</t>
        </is>
      </c>
      <c r="B1" s="2" t="inlineStr">
        <is>
          <t>Name</t>
        </is>
      </c>
      <c r="C1" s="2" t="inlineStr">
        <is>
          <t>Tier</t>
        </is>
      </c>
      <c r="D1" s="2" t="inlineStr">
        <is>
          <t>Location</t>
        </is>
      </c>
      <c r="E1" s="2" t="inlineStr">
        <is>
          <t>Country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Base_Capacity_Tons</t>
        </is>
      </c>
      <c r="I1" s="2" t="inlineStr">
        <is>
          <t>Cost_Per_Ton</t>
        </is>
      </c>
      <c r="J1" s="2" t="inlineStr">
        <is>
          <t>Scenario_Scope</t>
        </is>
      </c>
      <c r="K1" s="2" t="inlineStr">
        <is>
          <t>FEOC_Status</t>
        </is>
      </c>
    </row>
    <row r="2">
      <c r="A2" s="3" t="inlineStr">
        <is>
          <t>MIN_LITH_CHL</t>
        </is>
      </c>
      <c r="B2" s="4" t="inlineStr">
        <is>
          <t>Lithium Mine - Atacama</t>
        </is>
      </c>
      <c r="C2" s="3" t="inlineStr">
        <is>
          <t>Tier-3 (Mining)</t>
        </is>
      </c>
      <c r="D2" s="4" t="inlineStr">
        <is>
          <t>Atacama Desert</t>
        </is>
      </c>
      <c r="E2" s="4" t="inlineStr">
        <is>
          <t>Chile</t>
        </is>
      </c>
      <c r="F2" s="5" t="n">
        <v>-23.5</v>
      </c>
      <c r="G2" s="5" t="n">
        <v>-68.3</v>
      </c>
      <c r="H2" s="6" t="n">
        <v>15000</v>
      </c>
      <c r="I2" s="7" t="n">
        <v>8000</v>
      </c>
      <c r="J2" s="4" t="inlineStr">
        <is>
          <t>Both</t>
        </is>
      </c>
      <c r="K2" s="3" t="inlineStr">
        <is>
          <t>No</t>
        </is>
      </c>
    </row>
    <row r="3">
      <c r="A3" s="3" t="inlineStr">
        <is>
          <t>MIN_LITH_AUS</t>
        </is>
      </c>
      <c r="B3" s="4" t="inlineStr">
        <is>
          <t>Lithium Mine - Greenbushes</t>
        </is>
      </c>
      <c r="C3" s="3" t="inlineStr">
        <is>
          <t>Tier-3 (Mining)</t>
        </is>
      </c>
      <c r="D3" s="4" t="inlineStr">
        <is>
          <t>Greenbushes</t>
        </is>
      </c>
      <c r="E3" s="4" t="inlineStr">
        <is>
          <t>Australia</t>
        </is>
      </c>
      <c r="F3" s="5" t="n">
        <v>-33.85</v>
      </c>
      <c r="G3" s="5" t="n">
        <v>116.05</v>
      </c>
      <c r="H3" s="6" t="n">
        <v>12000</v>
      </c>
      <c r="I3" s="7" t="n">
        <v>9500</v>
      </c>
      <c r="J3" s="4" t="inlineStr">
        <is>
          <t>Both</t>
        </is>
      </c>
      <c r="K3" s="3" t="inlineStr">
        <is>
          <t>No</t>
        </is>
      </c>
    </row>
    <row r="4">
      <c r="A4" s="3" t="inlineStr">
        <is>
          <t>MIN_LITH_CAN</t>
        </is>
      </c>
      <c r="B4" s="4" t="inlineStr">
        <is>
          <t>Lithium Mine - Quebec</t>
        </is>
      </c>
      <c r="C4" s="3" t="inlineStr">
        <is>
          <t>Tier-3 (Mining)</t>
        </is>
      </c>
      <c r="D4" s="4" t="inlineStr">
        <is>
          <t>La Corne</t>
        </is>
      </c>
      <c r="E4" s="4" t="inlineStr">
        <is>
          <t>Canada</t>
        </is>
      </c>
      <c r="F4" s="5" t="n">
        <v>48.33</v>
      </c>
      <c r="G4" s="5" t="n">
        <v>-77.98</v>
      </c>
      <c r="H4" s="6" t="n">
        <v>8000</v>
      </c>
      <c r="I4" s="7" t="n">
        <v>11000</v>
      </c>
      <c r="J4" s="4" t="inlineStr">
        <is>
          <t>To-Be</t>
        </is>
      </c>
      <c r="K4" s="3" t="inlineStr">
        <is>
          <t>No</t>
        </is>
      </c>
    </row>
    <row r="5">
      <c r="A5" s="3" t="inlineStr">
        <is>
          <t>MIN_COB_DRC</t>
        </is>
      </c>
      <c r="B5" s="4" t="inlineStr">
        <is>
          <t>Cobalt Mine - Kolwezi</t>
        </is>
      </c>
      <c r="C5" s="3" t="inlineStr">
        <is>
          <t>Tier-3 (Mining)</t>
        </is>
      </c>
      <c r="D5" s="4" t="inlineStr">
        <is>
          <t>Lualaba Province</t>
        </is>
      </c>
      <c r="E5" s="4" t="inlineStr">
        <is>
          <t>DRC</t>
        </is>
      </c>
      <c r="F5" s="5" t="n">
        <v>-10.71</v>
      </c>
      <c r="G5" s="5" t="n">
        <v>25.47</v>
      </c>
      <c r="H5" s="6" t="n">
        <v>10000</v>
      </c>
      <c r="I5" s="7" t="n">
        <v>25000</v>
      </c>
      <c r="J5" s="4" t="inlineStr">
        <is>
          <t>Both</t>
        </is>
      </c>
      <c r="K5" s="3" t="inlineStr">
        <is>
          <t>No</t>
        </is>
      </c>
    </row>
    <row r="6">
      <c r="A6" s="3" t="inlineStr">
        <is>
          <t>MIN_COB_CAN</t>
        </is>
      </c>
      <c r="B6" s="4" t="inlineStr">
        <is>
          <t>Cobalt Mine - Sudbury</t>
        </is>
      </c>
      <c r="C6" s="3" t="inlineStr">
        <is>
          <t>Tier-3 (Mining)</t>
        </is>
      </c>
      <c r="D6" s="4" t="inlineStr">
        <is>
          <t>Sudbury</t>
        </is>
      </c>
      <c r="E6" s="4" t="inlineStr">
        <is>
          <t>Canada</t>
        </is>
      </c>
      <c r="F6" s="5" t="n">
        <v>46.49</v>
      </c>
      <c r="G6" s="5" t="n">
        <v>-81.01000000000001</v>
      </c>
      <c r="H6" s="6" t="n">
        <v>3000</v>
      </c>
      <c r="I6" s="7" t="n">
        <v>32000</v>
      </c>
      <c r="J6" s="4" t="inlineStr">
        <is>
          <t>To-Be</t>
        </is>
      </c>
      <c r="K6" s="3" t="inlineStr">
        <is>
          <t>No</t>
        </is>
      </c>
    </row>
    <row r="7">
      <c r="A7" s="3" t="inlineStr">
        <is>
          <t>MIN_NIC_IDN</t>
        </is>
      </c>
      <c r="B7" s="4" t="inlineStr">
        <is>
          <t>Nickel Mine - Sorowako</t>
        </is>
      </c>
      <c r="C7" s="3" t="inlineStr">
        <is>
          <t>Tier-3 (Mining)</t>
        </is>
      </c>
      <c r="D7" s="4" t="inlineStr">
        <is>
          <t>Sulawesi</t>
        </is>
      </c>
      <c r="E7" s="4" t="inlineStr">
        <is>
          <t>Indonesia</t>
        </is>
      </c>
      <c r="F7" s="5" t="n">
        <v>-2.53</v>
      </c>
      <c r="G7" s="5" t="n">
        <v>121.36</v>
      </c>
      <c r="H7" s="6" t="n">
        <v>20000</v>
      </c>
      <c r="I7" s="7" t="n">
        <v>12000</v>
      </c>
      <c r="J7" s="4" t="inlineStr">
        <is>
          <t>Both</t>
        </is>
      </c>
      <c r="K7" s="3" t="inlineStr">
        <is>
          <t>Yes</t>
        </is>
      </c>
    </row>
    <row r="8">
      <c r="A8" s="3" t="inlineStr">
        <is>
          <t>MIN_NIC_CAN</t>
        </is>
      </c>
      <c r="B8" s="4" t="inlineStr">
        <is>
          <t>Nickel Mine - Voisey Bay</t>
        </is>
      </c>
      <c r="C8" s="3" t="inlineStr">
        <is>
          <t>Tier-3 (Mining)</t>
        </is>
      </c>
      <c r="D8" s="4" t="inlineStr">
        <is>
          <t>Labrador</t>
        </is>
      </c>
      <c r="E8" s="4" t="inlineStr">
        <is>
          <t>Canada</t>
        </is>
      </c>
      <c r="F8" s="5" t="n">
        <v>56.31</v>
      </c>
      <c r="G8" s="5" t="n">
        <v>-62.1</v>
      </c>
      <c r="H8" s="6" t="n">
        <v>10000</v>
      </c>
      <c r="I8" s="7" t="n">
        <v>15000</v>
      </c>
      <c r="J8" s="4" t="inlineStr">
        <is>
          <t>To-Be</t>
        </is>
      </c>
      <c r="K8" s="3" t="inlineStr">
        <is>
          <t>No</t>
        </is>
      </c>
    </row>
    <row r="9">
      <c r="A9" s="3" t="inlineStr">
        <is>
          <t>MIN_GRA_CHN</t>
        </is>
      </c>
      <c r="B9" s="4" t="inlineStr">
        <is>
          <t>Graphite Mine - Inner Mongolia</t>
        </is>
      </c>
      <c r="C9" s="3" t="inlineStr">
        <is>
          <t>Tier-3 (Mining)</t>
        </is>
      </c>
      <c r="D9" s="4" t="inlineStr">
        <is>
          <t>Inner Mongolia</t>
        </is>
      </c>
      <c r="E9" s="4" t="inlineStr">
        <is>
          <t>China</t>
        </is>
      </c>
      <c r="F9" s="5" t="n">
        <v>40.81</v>
      </c>
      <c r="G9" s="5" t="n">
        <v>111.69</v>
      </c>
      <c r="H9" s="6" t="n">
        <v>18000</v>
      </c>
      <c r="I9" s="7" t="n">
        <v>3000</v>
      </c>
      <c r="J9" s="4" t="inlineStr">
        <is>
          <t>As-Is</t>
        </is>
      </c>
      <c r="K9" s="3" t="inlineStr">
        <is>
          <t>Yes</t>
        </is>
      </c>
    </row>
    <row r="10">
      <c r="A10" s="3" t="inlineStr">
        <is>
          <t>MIN_GRA_USA</t>
        </is>
      </c>
      <c r="B10" s="4" t="inlineStr">
        <is>
          <t>Synthetic Graphite - Ohio</t>
        </is>
      </c>
      <c r="C10" s="3" t="inlineStr">
        <is>
          <t>Tier-3 (Mining)</t>
        </is>
      </c>
      <c r="D10" s="4" t="inlineStr">
        <is>
          <t>Cleveland</t>
        </is>
      </c>
      <c r="E10" s="4" t="inlineStr">
        <is>
          <t>USA</t>
        </is>
      </c>
      <c r="F10" s="5" t="n">
        <v>41.49</v>
      </c>
      <c r="G10" s="5" t="n">
        <v>-81.69</v>
      </c>
      <c r="H10" s="6" t="n">
        <v>9000</v>
      </c>
      <c r="I10" s="7" t="n">
        <v>7500</v>
      </c>
      <c r="J10" s="4" t="inlineStr">
        <is>
          <t>To-Be</t>
        </is>
      </c>
      <c r="K10" s="3" t="inlineStr">
        <is>
          <t>No</t>
        </is>
      </c>
    </row>
    <row r="11">
      <c r="A11" s="3" t="inlineStr">
        <is>
          <t>REF_LITH_CHL</t>
        </is>
      </c>
      <c r="B11" s="4" t="inlineStr">
        <is>
          <t>Lithium Carbonate - Antofagasta</t>
        </is>
      </c>
      <c r="C11" s="3" t="inlineStr">
        <is>
          <t>Tier-2 (Refining)</t>
        </is>
      </c>
      <c r="D11" s="4" t="inlineStr">
        <is>
          <t>Antofagasta</t>
        </is>
      </c>
      <c r="E11" s="4" t="inlineStr">
        <is>
          <t>Chile</t>
        </is>
      </c>
      <c r="F11" s="5" t="n">
        <v>-23.65</v>
      </c>
      <c r="G11" s="5" t="n">
        <v>-70.40000000000001</v>
      </c>
      <c r="H11" s="6" t="n">
        <v>14000</v>
      </c>
      <c r="I11" s="7" t="n">
        <v>2000</v>
      </c>
      <c r="J11" s="4" t="inlineStr">
        <is>
          <t>Both</t>
        </is>
      </c>
      <c r="K11" s="3" t="inlineStr">
        <is>
          <t>No</t>
        </is>
      </c>
    </row>
    <row r="12">
      <c r="A12" s="3" t="inlineStr">
        <is>
          <t>REF_COB_CHN</t>
        </is>
      </c>
      <c r="B12" s="4" t="inlineStr">
        <is>
          <t>Cobalt Refinery - Jinchuan</t>
        </is>
      </c>
      <c r="C12" s="3" t="inlineStr">
        <is>
          <t>Tier-2 (Refining)</t>
        </is>
      </c>
      <c r="D12" s="4" t="inlineStr">
        <is>
          <t>Jinchang</t>
        </is>
      </c>
      <c r="E12" s="4" t="inlineStr">
        <is>
          <t>China</t>
        </is>
      </c>
      <c r="F12" s="5" t="n">
        <v>38.5</v>
      </c>
      <c r="G12" s="5" t="n">
        <v>102.19</v>
      </c>
      <c r="H12" s="6" t="n">
        <v>9000</v>
      </c>
      <c r="I12" s="7" t="n">
        <v>4000</v>
      </c>
      <c r="J12" s="4" t="inlineStr">
        <is>
          <t>As-Is</t>
        </is>
      </c>
      <c r="K12" s="3" t="inlineStr">
        <is>
          <t>Yes</t>
        </is>
      </c>
    </row>
    <row r="13">
      <c r="A13" s="3" t="inlineStr">
        <is>
          <t>REF_COB_FIN</t>
        </is>
      </c>
      <c r="B13" s="4" t="inlineStr">
        <is>
          <t>Cobalt Refinery - Kokkola</t>
        </is>
      </c>
      <c r="C13" s="3" t="inlineStr">
        <is>
          <t>Tier-2 (Refining)</t>
        </is>
      </c>
      <c r="D13" s="4" t="inlineStr">
        <is>
          <t>Kokkola</t>
        </is>
      </c>
      <c r="E13" s="4" t="inlineStr">
        <is>
          <t>Finland</t>
        </is>
      </c>
      <c r="F13" s="5" t="n">
        <v>63.83</v>
      </c>
      <c r="G13" s="5" t="n">
        <v>23.12</v>
      </c>
      <c r="H13" s="6" t="n">
        <v>4000</v>
      </c>
      <c r="I13" s="7" t="n">
        <v>6000</v>
      </c>
      <c r="J13" s="4" t="inlineStr">
        <is>
          <t>To-Be</t>
        </is>
      </c>
      <c r="K13" s="3" t="inlineStr">
        <is>
          <t>No</t>
        </is>
      </c>
    </row>
    <row r="14">
      <c r="A14" s="3" t="inlineStr">
        <is>
          <t>REF_NIC_CHN</t>
        </is>
      </c>
      <c r="B14" s="4" t="inlineStr">
        <is>
          <t>Nickel Smelter - Jinchuan</t>
        </is>
      </c>
      <c r="C14" s="3" t="inlineStr">
        <is>
          <t>Tier-2 (Refining)</t>
        </is>
      </c>
      <c r="D14" s="4" t="inlineStr">
        <is>
          <t>Jinchang</t>
        </is>
      </c>
      <c r="E14" s="4" t="inlineStr">
        <is>
          <t>China</t>
        </is>
      </c>
      <c r="F14" s="5" t="n">
        <v>38.5</v>
      </c>
      <c r="G14" s="5" t="n">
        <v>102.19</v>
      </c>
      <c r="H14" s="6" t="n">
        <v>18000</v>
      </c>
      <c r="I14" s="7" t="n">
        <v>3000</v>
      </c>
      <c r="J14" s="4" t="inlineStr">
        <is>
          <t>As-Is</t>
        </is>
      </c>
      <c r="K14" s="3" t="inlineStr">
        <is>
          <t>Yes</t>
        </is>
      </c>
    </row>
    <row r="15">
      <c r="A15" s="3" t="inlineStr">
        <is>
          <t>REF_NIC_CAN</t>
        </is>
      </c>
      <c r="B15" s="4" t="inlineStr">
        <is>
          <t>Nickel Refinery - Fort Sask</t>
        </is>
      </c>
      <c r="C15" s="3" t="inlineStr">
        <is>
          <t>Tier-2 (Refining)</t>
        </is>
      </c>
      <c r="D15" s="4" t="inlineStr">
        <is>
          <t>Fort Saskatchewan</t>
        </is>
      </c>
      <c r="E15" s="4" t="inlineStr">
        <is>
          <t>Canada</t>
        </is>
      </c>
      <c r="F15" s="5" t="n">
        <v>53.71</v>
      </c>
      <c r="G15" s="5" t="n">
        <v>-113.21</v>
      </c>
      <c r="H15" s="6" t="n">
        <v>9000</v>
      </c>
      <c r="I15" s="7" t="n">
        <v>4500</v>
      </c>
      <c r="J15" s="4" t="inlineStr">
        <is>
          <t>To-Be</t>
        </is>
      </c>
      <c r="K15" s="3" t="inlineStr">
        <is>
          <t>No</t>
        </is>
      </c>
    </row>
    <row r="16">
      <c r="A16" s="3" t="inlineStr">
        <is>
          <t>REF_GRA_CHN</t>
        </is>
      </c>
      <c r="B16" s="4" t="inlineStr">
        <is>
          <t>Anode Material Plant - Heilongjiang</t>
        </is>
      </c>
      <c r="C16" s="3" t="inlineStr">
        <is>
          <t>Tier-2 (Refining)</t>
        </is>
      </c>
      <c r="D16" s="4" t="inlineStr">
        <is>
          <t>Harbin</t>
        </is>
      </c>
      <c r="E16" s="4" t="inlineStr">
        <is>
          <t>China</t>
        </is>
      </c>
      <c r="F16" s="5" t="n">
        <v>45.75</v>
      </c>
      <c r="G16" s="5" t="n">
        <v>126.63</v>
      </c>
      <c r="H16" s="6" t="n">
        <v>16000</v>
      </c>
      <c r="I16" s="7" t="n">
        <v>1500</v>
      </c>
      <c r="J16" s="4" t="inlineStr">
        <is>
          <t>As-Is</t>
        </is>
      </c>
      <c r="K16" s="3" t="inlineStr">
        <is>
          <t>Yes</t>
        </is>
      </c>
    </row>
    <row r="17">
      <c r="A17" s="3" t="inlineStr">
        <is>
          <t>REF_GRA_USA</t>
        </is>
      </c>
      <c r="B17" s="4" t="inlineStr">
        <is>
          <t>Anode Material Plant - Tennessee</t>
        </is>
      </c>
      <c r="C17" s="3" t="inlineStr">
        <is>
          <t>Tier-2 (Refining)</t>
        </is>
      </c>
      <c r="D17" s="4" t="inlineStr">
        <is>
          <t>Chattanooga</t>
        </is>
      </c>
      <c r="E17" s="4" t="inlineStr">
        <is>
          <t>USA</t>
        </is>
      </c>
      <c r="F17" s="5" t="n">
        <v>35.04</v>
      </c>
      <c r="G17" s="5" t="n">
        <v>-85.3</v>
      </c>
      <c r="H17" s="6" t="n">
        <v>8000</v>
      </c>
      <c r="I17" s="7" t="n">
        <v>3000</v>
      </c>
      <c r="J17" s="4" t="inlineStr">
        <is>
          <t>To-Be</t>
        </is>
      </c>
      <c r="K17" s="3" t="inlineStr">
        <is>
          <t>No</t>
        </is>
      </c>
    </row>
    <row r="18">
      <c r="A18" s="3" t="inlineStr">
        <is>
          <t>CAM_KOR</t>
        </is>
      </c>
      <c r="B18" s="4" t="inlineStr">
        <is>
          <t>CAM Plant - Busan</t>
        </is>
      </c>
      <c r="C18" s="3" t="inlineStr">
        <is>
          <t>Tier-1.5 (CAM)</t>
        </is>
      </c>
      <c r="D18" s="4" t="inlineStr">
        <is>
          <t>Busan</t>
        </is>
      </c>
      <c r="E18" s="4" t="inlineStr">
        <is>
          <t>South Korea</t>
        </is>
      </c>
      <c r="F18" s="5" t="n">
        <v>35.1</v>
      </c>
      <c r="G18" s="5" t="n">
        <v>129.04</v>
      </c>
      <c r="H18" s="6" t="n">
        <v>25000</v>
      </c>
      <c r="I18" s="7" t="n">
        <v>15000</v>
      </c>
      <c r="J18" s="4" t="inlineStr">
        <is>
          <t>Both</t>
        </is>
      </c>
      <c r="K18" s="3" t="inlineStr">
        <is>
          <t>No</t>
        </is>
      </c>
    </row>
    <row r="19">
      <c r="A19" s="3" t="inlineStr">
        <is>
          <t>CAM_USA</t>
        </is>
      </c>
      <c r="B19" s="4" t="inlineStr">
        <is>
          <t>CAM Plant - Indiana</t>
        </is>
      </c>
      <c r="C19" s="3" t="inlineStr">
        <is>
          <t>Tier-1.5 (CAM)</t>
        </is>
      </c>
      <c r="D19" s="4" t="inlineStr">
        <is>
          <t>Kokomo</t>
        </is>
      </c>
      <c r="E19" s="4" t="inlineStr">
        <is>
          <t>USA</t>
        </is>
      </c>
      <c r="F19" s="5" t="n">
        <v>40.48</v>
      </c>
      <c r="G19" s="5" t="n">
        <v>-86.13</v>
      </c>
      <c r="H19" s="6" t="n">
        <v>15000</v>
      </c>
      <c r="I19" s="7" t="n">
        <v>19000</v>
      </c>
      <c r="J19" s="4" t="inlineStr">
        <is>
          <t>To-Be</t>
        </is>
      </c>
      <c r="K19" s="3" t="inlineStr">
        <is>
          <t>No</t>
        </is>
      </c>
    </row>
    <row r="20">
      <c r="A20" s="3" t="inlineStr">
        <is>
          <t>GIGA_USA</t>
        </is>
      </c>
      <c r="B20" s="4" t="inlineStr">
        <is>
          <t>Michigan Gigafactory</t>
        </is>
      </c>
      <c r="C20" s="3" t="inlineStr">
        <is>
          <t>Tier-1 (Assembly)</t>
        </is>
      </c>
      <c r="D20" s="4" t="inlineStr">
        <is>
          <t>Detroit</t>
        </is>
      </c>
      <c r="E20" s="4" t="inlineStr">
        <is>
          <t>USA</t>
        </is>
      </c>
      <c r="F20" s="5" t="n">
        <v>42.33</v>
      </c>
      <c r="G20" s="5" t="n">
        <v>-83.04000000000001</v>
      </c>
      <c r="H20" s="6" t="n">
        <v>35000</v>
      </c>
      <c r="I20" s="7" t="n">
        <v>10000</v>
      </c>
      <c r="J20" s="4" t="inlineStr">
        <is>
          <t>Both</t>
        </is>
      </c>
      <c r="K20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5" customWidth="1" min="2" max="2"/>
    <col width="15" customWidth="1" min="3" max="3"/>
    <col width="28" customWidth="1" min="4" max="4"/>
    <col width="17" customWidth="1" min="5" max="5"/>
    <col width="23" customWidth="1" min="6" max="6"/>
    <col width="12" customWidth="1" min="7" max="7"/>
  </cols>
  <sheetData>
    <row r="1">
      <c r="A1" s="2" t="inlineStr">
        <is>
          <t>Route_ID</t>
        </is>
      </c>
      <c r="B1" s="2" t="inlineStr">
        <is>
          <t>Origin</t>
        </is>
      </c>
      <c r="C1" s="2" t="inlineStr">
        <is>
          <t>Destination</t>
        </is>
      </c>
      <c r="D1" s="2" t="inlineStr">
        <is>
          <t>Mode</t>
        </is>
      </c>
      <c r="E1" s="2" t="inlineStr">
        <is>
          <t>Lead_Time_Days</t>
        </is>
      </c>
      <c r="F1" s="2" t="inlineStr">
        <is>
          <t>Freight_Cost_Per_Ton</t>
        </is>
      </c>
      <c r="G1" s="2" t="inlineStr">
        <is>
          <t>Scenario</t>
        </is>
      </c>
    </row>
    <row r="2">
      <c r="A2" s="3" t="inlineStr">
        <is>
          <t>R_ASIS_01</t>
        </is>
      </c>
      <c r="B2" s="4" t="inlineStr">
        <is>
          <t>MIN_LITH_CHL</t>
        </is>
      </c>
      <c r="C2" s="4" t="inlineStr">
        <is>
          <t>REF_LITH_CHL</t>
        </is>
      </c>
      <c r="D2" s="3" t="inlineStr">
        <is>
          <t>Truck</t>
        </is>
      </c>
      <c r="E2" s="6" t="n">
        <v>1</v>
      </c>
      <c r="F2" s="7" t="n">
        <v>200</v>
      </c>
      <c r="G2" s="3" t="inlineStr">
        <is>
          <t>As-Is</t>
        </is>
      </c>
    </row>
    <row r="3">
      <c r="A3" s="3" t="inlineStr">
        <is>
          <t>R_ASIS_02</t>
        </is>
      </c>
      <c r="B3" s="4" t="inlineStr">
        <is>
          <t>REF_LITH_CHL</t>
        </is>
      </c>
      <c r="C3" s="4" t="inlineStr">
        <is>
          <t>CAM_KOR</t>
        </is>
      </c>
      <c r="D3" s="3" t="inlineStr">
        <is>
          <t>Maritime</t>
        </is>
      </c>
      <c r="E3" s="6" t="n">
        <v>28</v>
      </c>
      <c r="F3" s="7" t="n">
        <v>1200</v>
      </c>
      <c r="G3" s="3" t="inlineStr">
        <is>
          <t>As-Is</t>
        </is>
      </c>
    </row>
    <row r="4">
      <c r="A4" s="3" t="inlineStr">
        <is>
          <t>R_ASIS_03</t>
        </is>
      </c>
      <c r="B4" s="4" t="inlineStr">
        <is>
          <t>MIN_LITH_AUS</t>
        </is>
      </c>
      <c r="C4" s="4" t="inlineStr">
        <is>
          <t>CAM_KOR</t>
        </is>
      </c>
      <c r="D4" s="3" t="inlineStr">
        <is>
          <t>Maritime</t>
        </is>
      </c>
      <c r="E4" s="6" t="n">
        <v>18</v>
      </c>
      <c r="F4" s="7" t="n">
        <v>900</v>
      </c>
      <c r="G4" s="3" t="inlineStr">
        <is>
          <t>As-Is</t>
        </is>
      </c>
    </row>
    <row r="5">
      <c r="A5" s="3" t="inlineStr">
        <is>
          <t>R_ASIS_04</t>
        </is>
      </c>
      <c r="B5" s="4" t="inlineStr">
        <is>
          <t>MIN_COB_DRC</t>
        </is>
      </c>
      <c r="C5" s="4" t="inlineStr">
        <is>
          <t>REF_COB_CHN</t>
        </is>
      </c>
      <c r="D5" s="3" t="inlineStr">
        <is>
          <t>Maritime</t>
        </is>
      </c>
      <c r="E5" s="6" t="n">
        <v>32</v>
      </c>
      <c r="F5" s="7" t="n">
        <v>1500</v>
      </c>
      <c r="G5" s="3" t="inlineStr">
        <is>
          <t>As-Is</t>
        </is>
      </c>
    </row>
    <row r="6">
      <c r="A6" s="3" t="inlineStr">
        <is>
          <t>R_ASIS_05</t>
        </is>
      </c>
      <c r="B6" s="4" t="inlineStr">
        <is>
          <t>REF_COB_CHN</t>
        </is>
      </c>
      <c r="C6" s="4" t="inlineStr">
        <is>
          <t>CAM_KOR</t>
        </is>
      </c>
      <c r="D6" s="3" t="inlineStr">
        <is>
          <t>Maritime</t>
        </is>
      </c>
      <c r="E6" s="6" t="n">
        <v>3</v>
      </c>
      <c r="F6" s="7" t="n">
        <v>300</v>
      </c>
      <c r="G6" s="3" t="inlineStr">
        <is>
          <t>As-Is</t>
        </is>
      </c>
    </row>
    <row r="7">
      <c r="A7" s="3" t="inlineStr">
        <is>
          <t>R_ASIS_06</t>
        </is>
      </c>
      <c r="B7" s="4" t="inlineStr">
        <is>
          <t>MIN_NIC_IDN</t>
        </is>
      </c>
      <c r="C7" s="4" t="inlineStr">
        <is>
          <t>REF_NIC_CHN</t>
        </is>
      </c>
      <c r="D7" s="3" t="inlineStr">
        <is>
          <t>Maritime</t>
        </is>
      </c>
      <c r="E7" s="6" t="n">
        <v>12</v>
      </c>
      <c r="F7" s="7" t="n">
        <v>600</v>
      </c>
      <c r="G7" s="3" t="inlineStr">
        <is>
          <t>As-Is</t>
        </is>
      </c>
    </row>
    <row r="8">
      <c r="A8" s="3" t="inlineStr">
        <is>
          <t>R_ASIS_07</t>
        </is>
      </c>
      <c r="B8" s="4" t="inlineStr">
        <is>
          <t>REF_NIC_CHN</t>
        </is>
      </c>
      <c r="C8" s="4" t="inlineStr">
        <is>
          <t>CAM_KOR</t>
        </is>
      </c>
      <c r="D8" s="3" t="inlineStr">
        <is>
          <t>Maritime</t>
        </is>
      </c>
      <c r="E8" s="6" t="n">
        <v>3</v>
      </c>
      <c r="F8" s="7" t="n">
        <v>300</v>
      </c>
      <c r="G8" s="3" t="inlineStr">
        <is>
          <t>As-Is</t>
        </is>
      </c>
    </row>
    <row r="9">
      <c r="A9" s="3" t="inlineStr">
        <is>
          <t>R_ASIS_08</t>
        </is>
      </c>
      <c r="B9" s="4" t="inlineStr">
        <is>
          <t>MIN_GRA_CHN</t>
        </is>
      </c>
      <c r="C9" s="4" t="inlineStr">
        <is>
          <t>REF_GRA_CHN</t>
        </is>
      </c>
      <c r="D9" s="3" t="inlineStr">
        <is>
          <t>Rail</t>
        </is>
      </c>
      <c r="E9" s="6" t="n">
        <v>4</v>
      </c>
      <c r="F9" s="7" t="n">
        <v>400</v>
      </c>
      <c r="G9" s="3" t="inlineStr">
        <is>
          <t>As-Is</t>
        </is>
      </c>
    </row>
    <row r="10">
      <c r="A10" s="3" t="inlineStr">
        <is>
          <t>R_ASIS_09</t>
        </is>
      </c>
      <c r="B10" s="4" t="inlineStr">
        <is>
          <t>REF_GRA_CHN</t>
        </is>
      </c>
      <c r="C10" s="4" t="inlineStr">
        <is>
          <t>CAM_KOR</t>
        </is>
      </c>
      <c r="D10" s="3" t="inlineStr">
        <is>
          <t>Maritime</t>
        </is>
      </c>
      <c r="E10" s="6" t="n">
        <v>4</v>
      </c>
      <c r="F10" s="7" t="n">
        <v>350</v>
      </c>
      <c r="G10" s="3" t="inlineStr">
        <is>
          <t>As-Is</t>
        </is>
      </c>
    </row>
    <row r="11">
      <c r="A11" s="3" t="inlineStr">
        <is>
          <t>R_ASIS_10</t>
        </is>
      </c>
      <c r="B11" s="4" t="inlineStr">
        <is>
          <t>CAM_KOR</t>
        </is>
      </c>
      <c r="C11" s="4" t="inlineStr">
        <is>
          <t>GIGA_USA</t>
        </is>
      </c>
      <c r="D11" s="3" t="inlineStr">
        <is>
          <t>Maritime + Rail (LA Port)</t>
        </is>
      </c>
      <c r="E11" s="6" t="n">
        <v>25</v>
      </c>
      <c r="F11" s="7" t="n">
        <v>1800</v>
      </c>
      <c r="G11" s="3" t="inlineStr">
        <is>
          <t>As-Is</t>
        </is>
      </c>
    </row>
    <row r="12">
      <c r="A12" s="3" t="inlineStr">
        <is>
          <t>R_TOBE_01</t>
        </is>
      </c>
      <c r="B12" s="4" t="inlineStr">
        <is>
          <t>MIN_LITH_CHL</t>
        </is>
      </c>
      <c r="C12" s="4" t="inlineStr">
        <is>
          <t>REF_LITH_CHL</t>
        </is>
      </c>
      <c r="D12" s="3" t="inlineStr">
        <is>
          <t>Truck</t>
        </is>
      </c>
      <c r="E12" s="6" t="n">
        <v>1</v>
      </c>
      <c r="F12" s="7" t="n">
        <v>200</v>
      </c>
      <c r="G12" s="3" t="inlineStr">
        <is>
          <t>To-Be</t>
        </is>
      </c>
    </row>
    <row r="13">
      <c r="A13" s="3" t="inlineStr">
        <is>
          <t>R_TOBE_02</t>
        </is>
      </c>
      <c r="B13" s="4" t="inlineStr">
        <is>
          <t>REF_LITH_CHL</t>
        </is>
      </c>
      <c r="C13" s="4" t="inlineStr">
        <is>
          <t>CAM_USA</t>
        </is>
      </c>
      <c r="D13" s="3" t="inlineStr">
        <is>
          <t>Maritime (East Coast)</t>
        </is>
      </c>
      <c r="E13" s="6" t="n">
        <v>22</v>
      </c>
      <c r="F13" s="7" t="n">
        <v>1400</v>
      </c>
      <c r="G13" s="3" t="inlineStr">
        <is>
          <t>To-Be</t>
        </is>
      </c>
    </row>
    <row r="14">
      <c r="A14" s="3" t="inlineStr">
        <is>
          <t>R_TOBE_03</t>
        </is>
      </c>
      <c r="B14" s="4" t="inlineStr">
        <is>
          <t>MIN_LITH_CAN</t>
        </is>
      </c>
      <c r="C14" s="4" t="inlineStr">
        <is>
          <t>CAM_USA</t>
        </is>
      </c>
      <c r="D14" s="3" t="inlineStr">
        <is>
          <t>Rail</t>
        </is>
      </c>
      <c r="E14" s="6" t="n">
        <v>6</v>
      </c>
      <c r="F14" s="7" t="n">
        <v>800</v>
      </c>
      <c r="G14" s="3" t="inlineStr">
        <is>
          <t>To-Be</t>
        </is>
      </c>
    </row>
    <row r="15">
      <c r="A15" s="3" t="inlineStr">
        <is>
          <t>R_TOBE_04</t>
        </is>
      </c>
      <c r="B15" s="4" t="inlineStr">
        <is>
          <t>MIN_COB_CAN</t>
        </is>
      </c>
      <c r="C15" s="4" t="inlineStr">
        <is>
          <t>REF_COB_FIN</t>
        </is>
      </c>
      <c r="D15" s="3" t="inlineStr">
        <is>
          <t>Maritime (Transatlantic)</t>
        </is>
      </c>
      <c r="E15" s="6" t="n">
        <v>16</v>
      </c>
      <c r="F15" s="7" t="n">
        <v>1100</v>
      </c>
      <c r="G15" s="3" t="inlineStr">
        <is>
          <t>To-Be</t>
        </is>
      </c>
    </row>
    <row r="16">
      <c r="A16" s="3" t="inlineStr">
        <is>
          <t>R_TOBE_05</t>
        </is>
      </c>
      <c r="B16" s="4" t="inlineStr">
        <is>
          <t>REF_COB_FIN</t>
        </is>
      </c>
      <c r="C16" s="4" t="inlineStr">
        <is>
          <t>CAM_USA</t>
        </is>
      </c>
      <c r="D16" s="3" t="inlineStr">
        <is>
          <t>Maritime (Transatlantic)</t>
        </is>
      </c>
      <c r="E16" s="6" t="n">
        <v>14</v>
      </c>
      <c r="F16" s="7" t="n">
        <v>1300</v>
      </c>
      <c r="G16" s="3" t="inlineStr">
        <is>
          <t>To-Be</t>
        </is>
      </c>
    </row>
    <row r="17">
      <c r="A17" s="3" t="inlineStr">
        <is>
          <t>R_TOBE_06</t>
        </is>
      </c>
      <c r="B17" s="4" t="inlineStr">
        <is>
          <t>MIN_NIC_CAN</t>
        </is>
      </c>
      <c r="C17" s="4" t="inlineStr">
        <is>
          <t>REF_NIC_CAN</t>
        </is>
      </c>
      <c r="D17" s="3" t="inlineStr">
        <is>
          <t>Rail</t>
        </is>
      </c>
      <c r="E17" s="6" t="n">
        <v>5</v>
      </c>
      <c r="F17" s="7" t="n">
        <v>600</v>
      </c>
      <c r="G17" s="3" t="inlineStr">
        <is>
          <t>To-Be</t>
        </is>
      </c>
    </row>
    <row r="18">
      <c r="A18" s="3" t="inlineStr">
        <is>
          <t>R_TOBE_07</t>
        </is>
      </c>
      <c r="B18" s="4" t="inlineStr">
        <is>
          <t>REF_NIC_CAN</t>
        </is>
      </c>
      <c r="C18" s="4" t="inlineStr">
        <is>
          <t>CAM_USA</t>
        </is>
      </c>
      <c r="D18" s="3" t="inlineStr">
        <is>
          <t>Rail</t>
        </is>
      </c>
      <c r="E18" s="6" t="n">
        <v>4</v>
      </c>
      <c r="F18" s="7" t="n">
        <v>500</v>
      </c>
      <c r="G18" s="3" t="inlineStr">
        <is>
          <t>To-Be</t>
        </is>
      </c>
    </row>
    <row r="19">
      <c r="A19" s="3" t="inlineStr">
        <is>
          <t>R_TOBE_08</t>
        </is>
      </c>
      <c r="B19" s="4" t="inlineStr">
        <is>
          <t>MIN_GRA_USA</t>
        </is>
      </c>
      <c r="C19" s="4" t="inlineStr">
        <is>
          <t>REF_GRA_USA</t>
        </is>
      </c>
      <c r="D19" s="3" t="inlineStr">
        <is>
          <t>Truck</t>
        </is>
      </c>
      <c r="E19" s="6" t="n">
        <v>2</v>
      </c>
      <c r="F19" s="7" t="n">
        <v>300</v>
      </c>
      <c r="G19" s="3" t="inlineStr">
        <is>
          <t>To-Be</t>
        </is>
      </c>
    </row>
    <row r="20">
      <c r="A20" s="3" t="inlineStr">
        <is>
          <t>R_TOBE_09</t>
        </is>
      </c>
      <c r="B20" s="4" t="inlineStr">
        <is>
          <t>REF_GRA_USA</t>
        </is>
      </c>
      <c r="C20" s="4" t="inlineStr">
        <is>
          <t>CAM_USA</t>
        </is>
      </c>
      <c r="D20" s="3" t="inlineStr">
        <is>
          <t>Truck</t>
        </is>
      </c>
      <c r="E20" s="6" t="n">
        <v>2</v>
      </c>
      <c r="F20" s="7" t="n">
        <v>250</v>
      </c>
      <c r="G20" s="3" t="inlineStr">
        <is>
          <t>To-Be</t>
        </is>
      </c>
    </row>
    <row r="21">
      <c r="A21" s="3" t="inlineStr">
        <is>
          <t>R_TOBE_10</t>
        </is>
      </c>
      <c r="B21" s="4" t="inlineStr">
        <is>
          <t>CAM_USA</t>
        </is>
      </c>
      <c r="C21" s="4" t="inlineStr">
        <is>
          <t>GIGA_USA</t>
        </is>
      </c>
      <c r="D21" s="3" t="inlineStr">
        <is>
          <t>Truck/Rail</t>
        </is>
      </c>
      <c r="E21" s="6" t="n">
        <v>2</v>
      </c>
      <c r="F21" s="7" t="n">
        <v>400</v>
      </c>
      <c r="G21" s="3" t="inlineStr">
        <is>
          <t>To-Be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43" customWidth="1" min="3" max="3"/>
    <col width="125" customWidth="1" min="4" max="4"/>
    <col width="13" customWidth="1" min="5" max="5"/>
    <col width="12" customWidth="1" min="6" max="6"/>
    <col width="16" customWidth="1" min="7" max="7"/>
    <col width="116" customWidth="1" min="8" max="8"/>
  </cols>
  <sheetData>
    <row r="1">
      <c r="A1" s="2" t="inlineStr">
        <is>
          <t>Risk_ID</t>
        </is>
      </c>
      <c r="B1" s="2" t="inlineStr">
        <is>
          <t>Category</t>
        </is>
      </c>
      <c r="C1" s="2" t="inlineStr">
        <is>
          <t>Risk_Event</t>
        </is>
      </c>
      <c r="D1" s="2" t="inlineStr">
        <is>
          <t>Description</t>
        </is>
      </c>
      <c r="E1" s="2" t="inlineStr">
        <is>
          <t>Likelihood</t>
        </is>
      </c>
      <c r="F1" s="2" t="inlineStr">
        <is>
          <t>Severity</t>
        </is>
      </c>
      <c r="G1" s="2" t="inlineStr">
        <is>
          <t>Detectability</t>
        </is>
      </c>
      <c r="H1" s="2" t="inlineStr">
        <is>
          <t>Mitigation_Strategy</t>
        </is>
      </c>
      <c r="I1" s="8" t="inlineStr">
        <is>
          <t>RPN</t>
        </is>
      </c>
      <c r="J1" s="8" t="inlineStr">
        <is>
          <t>RPN</t>
        </is>
      </c>
    </row>
    <row r="2">
      <c r="A2" s="3" t="inlineStr">
        <is>
          <t>RSK-001</t>
        </is>
      </c>
      <c r="B2" s="4" t="inlineStr">
        <is>
          <t>Geopolitical</t>
        </is>
      </c>
      <c r="C2" s="4" t="inlineStr">
        <is>
          <t>US IRA FEOC Disqualification</t>
        </is>
      </c>
      <c r="D2" s="4" t="inlineStr">
        <is>
          <t>Violation of FEOC rules due to Chinese extraction/refining, leading to complete loss of the $7,500 tax credit.</t>
        </is>
      </c>
      <c r="E2" s="6" t="n">
        <v>5</v>
      </c>
      <c r="F2" s="6" t="n">
        <v>5</v>
      </c>
      <c r="G2" s="6" t="n">
        <v>4</v>
      </c>
      <c r="H2" s="9">
        <f>E2*F2*G2</f>
        <v/>
      </c>
    </row>
    <row r="3">
      <c r="A3" s="3" t="inlineStr">
        <is>
          <t>RSK-002</t>
        </is>
      </c>
      <c r="B3" s="4" t="inlineStr">
        <is>
          <t>Cybersecurity</t>
        </is>
      </c>
      <c r="C3" s="4" t="inlineStr">
        <is>
          <t>Ransomware Attack on US West Coast Ports</t>
        </is>
      </c>
      <c r="D3" s="4" t="inlineStr">
        <is>
          <t>Cyberattack targeting container terminals at Port of LA/LB, freezing shipping logistics and customs clearance.</t>
        </is>
      </c>
      <c r="E3" s="6" t="n">
        <v>4</v>
      </c>
      <c r="F3" s="6" t="n">
        <v>4</v>
      </c>
      <c r="G3" s="6" t="n">
        <v>2</v>
      </c>
      <c r="H3" s="9">
        <f>E3*F3*G3</f>
        <v/>
      </c>
    </row>
    <row r="4">
      <c r="A4" s="3" t="inlineStr">
        <is>
          <t>RSK-003</t>
        </is>
      </c>
      <c r="B4" s="4" t="inlineStr">
        <is>
          <t>Climate &amp; Natural Disasters</t>
        </is>
      </c>
      <c r="C4" s="4" t="inlineStr">
        <is>
          <t>Panama Canal Drought Disruptions</t>
        </is>
      </c>
      <c r="D4" s="4" t="inlineStr">
        <is>
          <t>Drought conditions limit daily vessel transits through Panama Canal, forcing longer routes or intermodal shifts.</t>
        </is>
      </c>
      <c r="E4" s="6" t="n">
        <v>4</v>
      </c>
      <c r="F4" s="6" t="n">
        <v>3</v>
      </c>
      <c r="G4" s="6" t="n">
        <v>1</v>
      </c>
      <c r="H4" s="9">
        <f>E4*F4*G4</f>
        <v/>
      </c>
    </row>
    <row r="5">
      <c r="A5" s="3" t="inlineStr">
        <is>
          <t>RSK-004</t>
        </is>
      </c>
      <c r="B5" s="4" t="inlineStr">
        <is>
          <t>Regulatory &amp; Resource Nationalism</t>
        </is>
      </c>
      <c r="C5" s="4" t="inlineStr">
        <is>
          <t>Indonesian Nickel Tariff / Export Limit</t>
        </is>
      </c>
      <c r="D5" s="4" t="inlineStr">
        <is>
          <t>Indonesian government imposes export tariffs on processed nickel intermediates (MHP) to force domestic cathode production.</t>
        </is>
      </c>
      <c r="E5" s="6" t="n">
        <v>3</v>
      </c>
      <c r="F5" s="6" t="n">
        <v>4</v>
      </c>
      <c r="G5" s="6" t="n">
        <v>3</v>
      </c>
      <c r="H5" s="9">
        <f>E5*F5*G5</f>
        <v/>
      </c>
    </row>
    <row r="6">
      <c r="A6" s="3" t="inlineStr">
        <is>
          <t>RSK-005</t>
        </is>
      </c>
      <c r="B6" s="4" t="inlineStr">
        <is>
          <t>Macroeconomics</t>
        </is>
      </c>
      <c r="C6" s="4" t="inlineStr">
        <is>
          <t>Global Freight Rate &amp; Fuel Inflation</t>
        </is>
      </c>
      <c r="D6" s="4" t="inlineStr">
        <is>
          <t>Spike in bunker fuel prices and spot container rates due to regional conflicts and shipping lane detours.</t>
        </is>
      </c>
      <c r="E6" s="6" t="n">
        <v>4</v>
      </c>
      <c r="F6" s="6" t="n">
        <v>3</v>
      </c>
      <c r="G6" s="6" t="n">
        <v>2</v>
      </c>
      <c r="H6" s="9">
        <f>E6*F6*G6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 outlineLevelCol="0"/>
  <cols>
    <col width="57" customWidth="1" min="1" max="1"/>
    <col width="22" customWidth="1" min="2" max="2"/>
    <col width="21" customWidth="1" min="3" max="3"/>
    <col width="18" customWidth="1" min="4" max="4"/>
    <col width="16" customWidth="1" min="5" max="5"/>
  </cols>
  <sheetData>
    <row r="1">
      <c r="A1" s="10" t="inlineStr">
        <is>
          <t>2026 SUPPLY CHAIN RISK SCORECARD &amp; SCENARIO COMPARISON</t>
        </is>
      </c>
    </row>
    <row r="2"/>
    <row r="3">
      <c r="A3" s="2" t="inlineStr">
        <is>
          <t>Metric</t>
        </is>
      </c>
      <c r="B3" s="2" t="inlineStr">
        <is>
          <t>As-Is (Unmitigated)</t>
        </is>
      </c>
      <c r="C3" s="2" t="inlineStr">
        <is>
          <t>To-Be (Resilient)</t>
        </is>
      </c>
      <c r="D3" s="2" t="inlineStr">
        <is>
          <t>Delta / Savings</t>
        </is>
      </c>
      <c r="E3" s="2" t="inlineStr">
        <is>
          <t>% Improvement</t>
        </is>
      </c>
    </row>
    <row r="4">
      <c r="A4" s="11" t="inlineStr">
        <is>
          <t>Mean Lead Time (Days)</t>
        </is>
      </c>
      <c r="B4" s="12" t="n">
        <v>65.23448537827987</v>
      </c>
      <c r="C4" s="12" t="n">
        <v>32.00836232987267</v>
      </c>
      <c r="D4" s="12">
        <f>B4-C4</f>
        <v/>
      </c>
      <c r="E4" s="13">
        <f>D4/B4</f>
        <v/>
      </c>
    </row>
    <row r="5">
      <c r="A5" s="11" t="inlineStr">
        <is>
          <t>90th Percentile Lead Time (Days)</t>
        </is>
      </c>
      <c r="B5" s="12" t="n">
        <v>77.69599387440604</v>
      </c>
      <c r="C5" s="12" t="n">
        <v>34.75242521657214</v>
      </c>
      <c r="D5" s="12">
        <f>B5-C5</f>
        <v/>
      </c>
      <c r="E5" s="13">
        <f>D5/B5</f>
        <v/>
      </c>
    </row>
    <row r="6">
      <c r="A6" s="11" t="inlineStr">
        <is>
          <t>Stockout Probability (%)</t>
        </is>
      </c>
      <c r="B6" s="12" t="n">
        <v>100</v>
      </c>
      <c r="C6" s="12" t="n">
        <v>100</v>
      </c>
      <c r="D6" s="12">
        <f>B6-C6</f>
        <v/>
      </c>
      <c r="E6" s="13">
        <f>D6/B6</f>
        <v/>
      </c>
    </row>
    <row r="7">
      <c r="A7" s="11" t="inlineStr">
        <is>
          <t>Mean Material Sourcing Cost ($/Ton)</t>
        </is>
      </c>
      <c r="B7" s="14" t="n">
        <v>4612.498982036234</v>
      </c>
      <c r="C7" s="14" t="n">
        <v>5993.875318021887</v>
      </c>
      <c r="D7" s="14">
        <f>B7-C7</f>
        <v/>
      </c>
      <c r="E7" s="13">
        <f>D7/B7</f>
        <v/>
      </c>
    </row>
    <row r="8">
      <c r="A8" s="11" t="inlineStr">
        <is>
          <t>Mean Freight Logistics Cost ($/Ton)</t>
        </is>
      </c>
      <c r="B8" s="14" t="n">
        <v>2494.84801673268</v>
      </c>
      <c r="C8" s="14" t="n">
        <v>812.3004969263118</v>
      </c>
      <c r="D8" s="14">
        <f>B8-C8</f>
        <v/>
      </c>
      <c r="E8" s="13">
        <f>D8/B8</f>
        <v/>
      </c>
    </row>
    <row r="9">
      <c r="A9" s="11" t="inlineStr">
        <is>
          <t>Mean Manufacturing &amp; Assembly ($/Ton)</t>
        </is>
      </c>
      <c r="B9" s="14" t="n">
        <v>11500</v>
      </c>
      <c r="C9" s="14" t="n">
        <v>11900</v>
      </c>
      <c r="D9" s="14">
        <f>B9-C9</f>
        <v/>
      </c>
      <c r="E9" s="13">
        <f>D9/B9</f>
        <v/>
      </c>
    </row>
    <row r="10">
      <c r="A10" s="11" t="inlineStr">
        <is>
          <t>Mean IRA Geopolitical Penalty ($/Ton)</t>
        </is>
      </c>
      <c r="B10" s="14" t="n">
        <v>53500</v>
      </c>
      <c r="C10" s="14" t="n">
        <v>0</v>
      </c>
      <c r="D10" s="14">
        <f>B10-C10</f>
        <v/>
      </c>
      <c r="E10" s="13">
        <f>D10/B10</f>
        <v/>
      </c>
    </row>
    <row r="11">
      <c r="A11" s="11" t="inlineStr">
        <is>
          <t>Mean Expected Stockout Cost ($/Ton)</t>
        </is>
      </c>
      <c r="B11" s="14" t="n">
        <v>36281.38245393585</v>
      </c>
      <c r="C11" s="14" t="n">
        <v>20410.03479584721</v>
      </c>
      <c r="D11" s="14">
        <f>B11-C11</f>
        <v/>
      </c>
      <c r="E11" s="13">
        <f>D11/B11</f>
        <v/>
      </c>
    </row>
    <row r="12">
      <c r="A12" s="15" t="inlineStr">
        <is>
          <t>Total Cost of Risk - TCOR ($/Ton)</t>
        </is>
      </c>
      <c r="B12" s="16" t="n">
        <v>108388.7294527048</v>
      </c>
      <c r="C12" s="16" t="n">
        <v>39116.21061079541</v>
      </c>
      <c r="D12" s="16">
        <f>B12-C12</f>
        <v/>
      </c>
      <c r="E12" s="17">
        <f>D12/B12</f>
        <v/>
      </c>
    </row>
    <row r="13">
      <c r="A13" s="11" t="inlineStr">
        <is>
          <t>90th Percentile Cost VaR ($/Ton)</t>
        </is>
      </c>
      <c r="B13" s="14" t="n">
        <v>123789.8111125447</v>
      </c>
      <c r="C13" s="14" t="n">
        <v>42414.4134828875</v>
      </c>
      <c r="D13" s="14">
        <f>B13-C13</f>
        <v/>
      </c>
      <c r="E13" s="13">
        <f>D13/B13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2026-06-25T12:52:34Z</dcterms:created>
  <dcterms:modified xsi:type="dcterms:W3CDTF">2026-06-25T12:55:01Z</dcterms:modified>
</cp:coreProperties>
</file>